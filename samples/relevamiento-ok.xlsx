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ME" state="visible" r:id="rId4"/>
    <sheet sheetId="2" name="Conteo_Topa" state="visible" r:id="rId5"/>
    <sheet sheetId="3" name="Conteo_Brofe" state="visible" r:id="rId6"/>
    <sheet sheetId="4" name="Recuentos" state="visible" r:id="rId7"/>
  </sheets>
  <calcPr calcId="171027"/>
</workbook>
</file>

<file path=xl/sharedStrings.xml><?xml version="1.0" encoding="utf-8"?>
<sst xmlns="http://schemas.openxmlformats.org/spreadsheetml/2006/main" count="90" uniqueCount="54">
  <si>
    <t>Relevamiento de ejemplo (datos ficticios)</t>
  </si>
  <si>
    <t>CARGA DE CONTEO – TOPA</t>
  </si>
  <si>
    <t>Responsable:</t>
  </si>
  <si>
    <t>Topa</t>
  </si>
  <si>
    <t>AMARILLO = carga manual | AZUL = cálculo automático</t>
  </si>
  <si>
    <t>Fecha</t>
  </si>
  <si>
    <t>Zona</t>
  </si>
  <si>
    <t>Módulo</t>
  </si>
  <si>
    <t>Nivel</t>
  </si>
  <si>
    <t>Marca</t>
  </si>
  <si>
    <t>SKU</t>
  </si>
  <si>
    <t>Descripción</t>
  </si>
  <si>
    <t>Cajas cerradas</t>
  </si>
  <si>
    <t>Unid./caja</t>
  </si>
  <si>
    <t>Unid. sueltas</t>
  </si>
  <si>
    <t>Total</t>
  </si>
  <si>
    <t>Ubicación</t>
  </si>
  <si>
    <t>Control</t>
  </si>
  <si>
    <t>Observaciones</t>
  </si>
  <si>
    <t>A</t>
  </si>
  <si>
    <t>A01</t>
  </si>
  <si>
    <t>1</t>
  </si>
  <si>
    <t>Bellota</t>
  </si>
  <si>
    <t>BEL-MEC-06</t>
  </si>
  <si>
    <t>Mecha acero rápido 6 mm</t>
  </si>
  <si>
    <t>A - A01 - 1</t>
  </si>
  <si>
    <t>OK</t>
  </si>
  <si>
    <t>2</t>
  </si>
  <si>
    <t>BEL-MEC-08</t>
  </si>
  <si>
    <t>Mecha acero rápido 8 mm</t>
  </si>
  <si>
    <t>A - A01 - 2</t>
  </si>
  <si>
    <t>A02</t>
  </si>
  <si>
    <t>Mota</t>
  </si>
  <si>
    <t>MOT-DIS-115</t>
  </si>
  <si>
    <t>Disco de corte 115 mm</t>
  </si>
  <si>
    <t>A - A02 - 1</t>
  </si>
  <si>
    <t>CARGA DE CONTEO – BROFE</t>
  </si>
  <si>
    <t>Brofe</t>
  </si>
  <si>
    <t>B</t>
  </si>
  <si>
    <t>B01</t>
  </si>
  <si>
    <t>3</t>
  </si>
  <si>
    <t>B - B01 - 3</t>
  </si>
  <si>
    <t>PISO</t>
  </si>
  <si>
    <t>P01</t>
  </si>
  <si>
    <t>Piso</t>
  </si>
  <si>
    <t>TOT-AMO-01</t>
  </si>
  <si>
    <t>Amoladora angular 115 mm</t>
  </si>
  <si>
    <t>PISO - P01 - Piso</t>
  </si>
  <si>
    <t>RECUENTOS / VERIFICACIONES</t>
  </si>
  <si>
    <t>Persona</t>
  </si>
  <si>
    <t>Conteo inicial</t>
  </si>
  <si>
    <t>Segundo conteo</t>
  </si>
  <si>
    <t>Diferencia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</si>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</sst>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sheetData>
    <row r="1" spans="1:1" x14ac:dyDescent="0.25">
      <c r="A1" t="s">
        <v>1</v>
      </c>
    </row>
    <row r="3" spans="1:2" x14ac:dyDescent="0.25">
      <c r="A3" t="s">
        <v>2</v>
      </c>
      <c r="B3" t="s">
        <v>3</v>
      </c>
    </row>
    <row r="5" spans="1:1" x14ac:dyDescent="0.25">
      <c r="A5" t="s">
        <v>4</v>
      </c>
    </row>
    <row r="6" spans="1:14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</row>
    <row r="7" spans="1:14" x14ac:dyDescent="0.25">
      <c r="A7" s="1">
        <v>46298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2</v>
      </c>
      <c r="I7">
        <v>10</v>
      </c>
      <c r="J7">
        <v>3</v>
      </c>
      <c r="K7">
        <f>H7*I7+J7</f>
        <v>23</v>
      </c>
      <c r="L7" t="s">
        <v>25</v>
      </c>
      <c r="M7" t="s">
        <v>26</v>
      </c>
    </row>
    <row r="8" spans="1:14" x14ac:dyDescent="0.25">
      <c r="A8" s="1">
        <v>46298</v>
      </c>
      <c r="B8" t="s">
        <v>19</v>
      </c>
      <c r="C8" t="s">
        <v>20</v>
      </c>
      <c r="D8" t="s">
        <v>27</v>
      </c>
      <c r="E8" t="s">
        <v>22</v>
      </c>
      <c r="F8" t="s">
        <v>28</v>
      </c>
      <c r="G8" t="s">
        <v>29</v>
      </c>
      <c r="H8">
        <v>1</v>
      </c>
      <c r="I8">
        <v>10</v>
      </c>
      <c r="J8">
        <v>0</v>
      </c>
      <c r="K8">
        <f>H8*I8+J8</f>
        <v>10</v>
      </c>
      <c r="L8" t="s">
        <v>30</v>
      </c>
      <c r="M8" t="s">
        <v>26</v>
      </c>
    </row>
    <row r="9" spans="1:14" x14ac:dyDescent="0.25">
      <c r="A9" s="1">
        <v>46298</v>
      </c>
      <c r="B9" t="s">
        <v>19</v>
      </c>
      <c r="C9" t="s">
        <v>31</v>
      </c>
      <c r="D9" t="s">
        <v>21</v>
      </c>
      <c r="E9" t="s">
        <v>32</v>
      </c>
      <c r="F9" t="s">
        <v>33</v>
      </c>
      <c r="G9" t="s">
        <v>34</v>
      </c>
      <c r="J9">
        <v>25</v>
      </c>
      <c r="K9">
        <f>H9*I9+J9</f>
        <v>25</v>
      </c>
      <c r="L9" t="s">
        <v>35</v>
      </c>
      <c r="M9" t="s">
        <v>26</v>
      </c>
    </row>
    <row r="10" spans="11:11" x14ac:dyDescent="0.25">
      <c r="K10" t="str">
        <f>IF(F10="","",H10*I10+J10)</f>
        <v/>
      </c>
    </row>
    <row r="11" spans="11:11" x14ac:dyDescent="0.25">
      <c r="K11" t="str">
        <f>IF(F11="","",H11*I11+J11)</f>
        <v/>
      </c>
    </row>
    <row r="12" spans="11:11" x14ac:dyDescent="0.25">
      <c r="K12" t="str">
        <f>IF(F12="","",H12*I12+J12)</f>
        <v/>
      </c>
    </row>
    <row r="13" spans="11:11" x14ac:dyDescent="0.25">
      <c r="K13" t="str">
        <f>IF(F13="","",H13*I13+J13)</f>
        <v/>
      </c>
    </row>
    <row r="14" spans="11:11" x14ac:dyDescent="0.25">
      <c r="K14" t="str">
        <f>IF(F14="","",H14*I14+J14)</f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sheetData>
    <row r="1" spans="1:1" x14ac:dyDescent="0.25">
      <c r="A1" t="s">
        <v>36</v>
      </c>
    </row>
    <row r="3" spans="1:2" x14ac:dyDescent="0.25">
      <c r="A3" t="s">
        <v>2</v>
      </c>
      <c r="B3" t="s">
        <v>37</v>
      </c>
    </row>
    <row r="5" spans="1:1" x14ac:dyDescent="0.25">
      <c r="A5" t="s">
        <v>4</v>
      </c>
    </row>
    <row r="6" spans="1:14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</row>
    <row r="7" spans="1:14" x14ac:dyDescent="0.25">
      <c r="A7" s="1">
        <v>46298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 t="s">
        <v>24</v>
      </c>
      <c r="J7">
        <v>4</v>
      </c>
      <c r="K7">
        <f>H7*I7+J7</f>
        <v>4</v>
      </c>
      <c r="L7" t="s">
        <v>41</v>
      </c>
      <c r="M7" t="s">
        <v>26</v>
      </c>
    </row>
    <row r="8" spans="1:14" x14ac:dyDescent="0.25">
      <c r="A8" s="1">
        <v>46298</v>
      </c>
      <c r="B8" t="s">
        <v>42</v>
      </c>
      <c r="C8" t="s">
        <v>43</v>
      </c>
      <c r="D8" t="s">
        <v>44</v>
      </c>
      <c r="E8" t="s">
        <v>15</v>
      </c>
      <c r="F8" t="s">
        <v>45</v>
      </c>
      <c r="G8" t="s">
        <v>46</v>
      </c>
      <c r="H8">
        <v>3</v>
      </c>
      <c r="I8">
        <v>4</v>
      </c>
      <c r="J8">
        <v>1</v>
      </c>
      <c r="K8">
        <f>H8*I8+J8</f>
        <v>13</v>
      </c>
      <c r="L8" t="s">
        <v>47</v>
      </c>
      <c r="M8" t="s">
        <v>26</v>
      </c>
    </row>
    <row r="9" spans="11:11" x14ac:dyDescent="0.25">
      <c r="K9" t="str">
        <f>IF(F9="","",H9*I9+J9)</f>
        <v/>
      </c>
    </row>
    <row r="10" spans="11:11" x14ac:dyDescent="0.25">
      <c r="K10" t="str">
        <f>IF(F10="","",H10*I10+J10)</f>
        <v/>
      </c>
    </row>
    <row r="11" spans="11:11" x14ac:dyDescent="0.25">
      <c r="K11" t="str">
        <f>IF(F11="","",H11*I11+J11)</f>
        <v/>
      </c>
    </row>
    <row r="12" spans="11:11" x14ac:dyDescent="0.25">
      <c r="K12" t="str">
        <f>IF(F12="","",H12*I12+J12)</f>
        <v/>
      </c>
    </row>
    <row r="13" spans="11:11" x14ac:dyDescent="0.25">
      <c r="K13" t="str">
        <f>IF(F13="","",H13*I13+J13)</f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" x14ac:dyDescent="0.25">
      <c r="A1" t="s">
        <v>48</v>
      </c>
    </row>
    <row r="5" spans="1:12" x14ac:dyDescent="0.25">
      <c r="A5" t="s">
        <v>5</v>
      </c>
      <c r="B5" t="s">
        <v>49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50</v>
      </c>
      <c r="I5" t="s">
        <v>51</v>
      </c>
      <c r="J5" t="s">
        <v>52</v>
      </c>
      <c r="K5" t="s">
        <v>53</v>
      </c>
      <c r="L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Conteo_Topa</vt:lpstr>
      <vt:lpstr>Conteo_Brofe</vt:lpstr>
      <vt:lpstr>Recuentos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2026-09-29T00:39:32Z</dcterms:created>
  <dcterms:modified xsi:type="dcterms:W3CDTF">2026-09-29T00:39:32Z</dcterms:modified>
</cp:coreProperties>
</file>